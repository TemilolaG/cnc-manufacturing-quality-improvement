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emilolagbadamosi-adeniyi/Desktop/Digital twin/CNC/"/>
    </mc:Choice>
  </mc:AlternateContent>
  <xr:revisionPtr revIDLastSave="0" documentId="8_{FB5AC71E-96C7-324B-AAE2-CE27182CD8AC}" xr6:coauthVersionLast="47" xr6:coauthVersionMax="47" xr10:uidLastSave="{00000000-0000-0000-0000-000000000000}"/>
  <bookViews>
    <workbookView xWindow="-38400" yWindow="600" windowWidth="38400" windowHeight="20060" xr2:uid="{00000000-000D-0000-FFFF-FFFF00000000}"/>
  </bookViews>
  <sheets>
    <sheet name="PFMEA" sheetId="4" r:id="rId1"/>
  </sheets>
  <definedNames>
    <definedName name="_xlnm.Print_Titles" localSheetId="0">PFMEA!$2:$16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K17" i="4"/>
  <c r="K18" i="4"/>
  <c r="R18" i="4"/>
  <c r="R19" i="4"/>
  <c r="K20" i="4"/>
  <c r="R20" i="4"/>
  <c r="K21" i="4"/>
  <c r="R21" i="4"/>
  <c r="K22" i="4"/>
  <c r="R22" i="4"/>
  <c r="K23" i="4"/>
  <c r="R23" i="4"/>
  <c r="K24" i="4"/>
  <c r="R24" i="4"/>
  <c r="K25" i="4"/>
  <c r="R25" i="4"/>
  <c r="K26" i="4"/>
  <c r="R26" i="4"/>
  <c r="K27" i="4"/>
  <c r="R27" i="4"/>
  <c r="K28" i="4"/>
  <c r="R28" i="4"/>
  <c r="K29" i="4"/>
  <c r="R29" i="4"/>
  <c r="K30" i="4"/>
  <c r="R30" i="4"/>
  <c r="K31" i="4"/>
  <c r="R31" i="4"/>
  <c r="K32" i="4"/>
  <c r="R32" i="4"/>
  <c r="K33" i="4"/>
  <c r="R33" i="4"/>
  <c r="K34" i="4"/>
  <c r="R34" i="4"/>
  <c r="K35" i="4"/>
  <c r="R35" i="4"/>
  <c r="K36" i="4"/>
  <c r="R36" i="4"/>
  <c r="K37" i="4"/>
  <c r="R37" i="4"/>
  <c r="K38" i="4"/>
  <c r="R38" i="4"/>
  <c r="K39" i="4"/>
  <c r="R39" i="4"/>
  <c r="K40" i="4"/>
  <c r="R40" i="4"/>
  <c r="K41" i="4"/>
  <c r="R41" i="4"/>
  <c r="K42" i="4"/>
  <c r="R42" i="4"/>
  <c r="K43" i="4"/>
  <c r="R43" i="4"/>
  <c r="K44" i="4"/>
  <c r="R44" i="4"/>
  <c r="K45" i="4"/>
  <c r="R45" i="4"/>
  <c r="K46" i="4"/>
  <c r="R46" i="4"/>
  <c r="K47" i="4"/>
  <c r="R47" i="4"/>
  <c r="K48" i="4"/>
  <c r="R48" i="4"/>
  <c r="K49" i="4"/>
  <c r="R49" i="4"/>
</calcChain>
</file>

<file path=xl/sharedStrings.xml><?xml version="1.0" encoding="utf-8"?>
<sst xmlns="http://schemas.openxmlformats.org/spreadsheetml/2006/main" count="123" uniqueCount="91">
  <si>
    <t xml:space="preserve">      POTENTIAL</t>
  </si>
  <si>
    <t>FAILURE MODE AND EFFECTS ANALYSIS</t>
  </si>
  <si>
    <t>Print #</t>
  </si>
  <si>
    <t xml:space="preserve">Rev.  </t>
  </si>
  <si>
    <t>(PROCESS FMEA)</t>
  </si>
  <si>
    <t xml:space="preserve">Item:  </t>
  </si>
  <si>
    <t>Key Date</t>
  </si>
  <si>
    <t>Date (Orig.)</t>
  </si>
  <si>
    <t>Core Team:</t>
  </si>
  <si>
    <t>Date (Rev.)</t>
  </si>
  <si>
    <t>Process 
Function/ 
Require- 
ments</t>
  </si>
  <si>
    <t>Potential 
Failure 
Mode</t>
  </si>
  <si>
    <t>Potential 
Effect(s) 
of Failure</t>
  </si>
  <si>
    <t>C</t>
  </si>
  <si>
    <t>O</t>
  </si>
  <si>
    <t>D</t>
  </si>
  <si>
    <t>Recommended 
Action(s)</t>
  </si>
  <si>
    <t>Action Results</t>
  </si>
  <si>
    <t>S</t>
  </si>
  <si>
    <t>l</t>
  </si>
  <si>
    <t>a</t>
  </si>
  <si>
    <t>Actions 
Taken</t>
  </si>
  <si>
    <t>s</t>
  </si>
  <si>
    <t>r</t>
  </si>
  <si>
    <t>N/A</t>
  </si>
  <si>
    <t>Current Process Controls</t>
  </si>
  <si>
    <t>Potential 
Causes/ 
Mechanisms 
of Failure</t>
  </si>
  <si>
    <t>E</t>
  </si>
  <si>
    <t>V</t>
  </si>
  <si>
    <t>R</t>
  </si>
  <si>
    <t>P</t>
  </si>
  <si>
    <t>N</t>
  </si>
  <si>
    <t>T</t>
  </si>
  <si>
    <t>Resp. &amp; Target Date</t>
  </si>
  <si>
    <t>Process Resp:</t>
  </si>
  <si>
    <t>FMEA #</t>
  </si>
  <si>
    <t>Prepared:</t>
  </si>
  <si>
    <t>Machine component to specified surface-finish requirement (surface roughness ≤ 1.6 µm)</t>
  </si>
  <si>
    <t>Surface roughness exceeds 1.6 µm USL.</t>
  </si>
  <si>
    <t>Nonconforming surface finish; may impair sealing or mating performance, increase local stress concentration, contribute to accelerated wear or crack initiation under cyclic loading, and lead to rework, scrap, or reduced component life.</t>
  </si>
  <si>
    <t>Significant Characteristics</t>
  </si>
  <si>
    <r>
      <rPr>
        <b/>
        <sz val="10"/>
        <rFont val="Arial"/>
        <family val="2"/>
      </rPr>
      <t>Prevention:</t>
    </r>
    <r>
      <rPr>
        <sz val="10"/>
        <rFont val="Arial"/>
        <family val="2"/>
      </rPr>
      <t xml:space="preserve"> existing tool-replacement strategy and controlled machining parameters. </t>
    </r>
    <r>
      <rPr>
        <b/>
        <sz val="10"/>
        <rFont val="Arial"/>
        <family val="2"/>
      </rPr>
      <t>Detection:</t>
    </r>
    <r>
      <rPr>
        <sz val="10"/>
        <rFont val="Arial"/>
        <family val="2"/>
      </rPr>
      <t xml:space="preserve"> surface-roughness inspection against the 1.6 µm USL</t>
    </r>
  </si>
  <si>
    <t>Process/Manufacturing Engineer — TBD</t>
  </si>
  <si>
    <t>Pending — to be completed during Improve phase</t>
  </si>
  <si>
    <t>Excessive tool wear/tool degradation (primary); adverse material machinability and elevated vibration/machine condition (contributing factors).</t>
  </si>
  <si>
    <t>Machine component with burr height ≤ 0.080 mm</t>
  </si>
  <si>
    <t>Burr height exceeds 0.080 mm USL</t>
  </si>
  <si>
    <t>Interference with assembly/mating surfaces; poor fit; potential damage or contamination from loose burrs; rework, deburring, or scrap; possible customer nonconformance.</t>
  </si>
  <si>
    <t>Excessive tool wear/tool degradation (primary); elevated feed rate and material hardness (contributing factors).</t>
  </si>
  <si>
    <r>
      <rPr>
        <b/>
        <sz val="10"/>
        <rFont val="Arial"/>
        <family val="2"/>
      </rPr>
      <t>Prevention:</t>
    </r>
    <r>
      <rPr>
        <sz val="10"/>
        <rFont val="Arial"/>
        <family val="2"/>
      </rPr>
      <t xml:space="preserve"> existing tool-replacement strategy and controlled machining parameters/feed settings.
</t>
    </r>
    <r>
      <rPr>
        <b/>
        <sz val="10"/>
        <rFont val="Arial"/>
        <family val="2"/>
      </rPr>
      <t>Detection:</t>
    </r>
    <r>
      <rPr>
        <sz val="10"/>
        <rFont val="Arial"/>
        <family val="2"/>
      </rPr>
      <t xml:space="preserve"> burr-height inspection against the 0.080 mm USL.</t>
    </r>
  </si>
  <si>
    <t>Process/Manufacturing Engineer</t>
  </si>
  <si>
    <t>Pending Improve phase</t>
  </si>
  <si>
    <t>Machine the precision aluminum housing so the specified surface remains within the flatness tolerance.</t>
  </si>
  <si>
    <t>Flatness exceeds the specified upper limit</t>
  </si>
  <si>
    <t>Poor mating/contact between surfaces; possible sealing problems, assembly misalignment, uneven load distribution, rework or scrap, and customer nonconformance.</t>
  </si>
  <si>
    <t>Improper workpiece seating / seating error</t>
  </si>
  <si>
    <r>
      <rPr>
        <b/>
        <sz val="10"/>
        <rFont val="Arial"/>
        <family val="2"/>
      </rPr>
      <t>Prevention:</t>
    </r>
    <r>
      <rPr>
        <sz val="10"/>
        <rFont val="Arial"/>
        <family val="2"/>
      </rPr>
      <t xml:space="preserve"> existing tool-replacement strategy and controlled machining parameters/feed settings. </t>
    </r>
    <r>
      <rPr>
        <b/>
        <sz val="10"/>
        <rFont val="Arial"/>
        <family val="2"/>
      </rPr>
      <t>Detection</t>
    </r>
    <r>
      <rPr>
        <sz val="10"/>
        <rFont val="Arial"/>
        <family val="2"/>
      </rPr>
      <t>: burr-height inspection against the 0.080 mm USL.</t>
    </r>
  </si>
  <si>
    <t>Standardize workpiece seating and clamping procedure; verify fixture condition; add setup verification/check before machining</t>
  </si>
  <si>
    <t>Machine the precision aluminum housing bore to 25.000 ± 0.050 mm.</t>
  </si>
  <si>
    <t>Bore diameter outside specified tolerance (oversized or undersized)</t>
  </si>
  <si>
    <t>Improper component fit; excessive clearance or interference; assembly difficulty; possible misalignment, looseness, accelerated wear, rework/scrap, or customer nonconformance.</t>
  </si>
  <si>
    <t>Thermal/process-temperature variation causing dimensional drift; tool/process variation contributing to bore-size deviation.</t>
  </si>
  <si>
    <r>
      <t>Prevention:</t>
    </r>
    <r>
      <rPr>
        <sz val="10"/>
        <rFont val="Arial"/>
        <family val="2"/>
      </rPr>
      <t xml:space="preserve"> controlled machining parameters and bore/process correction.</t>
    </r>
    <r>
      <rPr>
        <b/>
        <sz val="10"/>
        <rFont val="Arial"/>
        <family val="2"/>
      </rPr>
      <t xml:space="preserve"> Detection: </t>
    </r>
    <r>
      <rPr>
        <sz val="10"/>
        <rFont val="Arial"/>
        <family val="2"/>
      </rPr>
      <t>bore-diameter inspection against the 24.950–25.050 mm specification.</t>
    </r>
  </si>
  <si>
    <t>Maintain temperature/process control; monitor bore SPC by machine; investigate special-cause signals promptly; verify bore correction effectiveness</t>
  </si>
  <si>
    <t>Maintain cutting tool in acceptable condition throughout machining</t>
  </si>
  <si>
    <t>Tool becomes excessively worn before replacement</t>
  </si>
  <si>
    <t>Increased roughness and burr formation; dimensional/quality deterioration; increased cutting load; rework/scrap; reduced tool/process reliability</t>
  </si>
  <si>
    <t>Tool replacement interval too long; inadequate monitoring of progressive tool wear</t>
  </si>
  <si>
    <r>
      <t>Prevention:</t>
    </r>
    <r>
      <rPr>
        <sz val="10"/>
        <rFont val="Arial"/>
        <family val="2"/>
      </rPr>
      <t xml:space="preserve"> existing tool-replacement strategy. </t>
    </r>
    <r>
      <rPr>
        <b/>
        <sz val="10"/>
        <rFont val="Arial"/>
        <family val="2"/>
      </rPr>
      <t>Detection:</t>
    </r>
    <r>
      <rPr>
        <sz val="10"/>
        <rFont val="Arial"/>
        <family val="2"/>
      </rPr>
      <t xml:space="preserve"> periodic inspection plus process indicators such as vibration/tool-condition trends</t>
    </r>
  </si>
  <si>
    <t>Establish data-driven preventive tool-replacement threshold; trend tool wear; use vibration/process signals for early warning before CTQ failure</t>
  </si>
  <si>
    <t>Maintain machining parameters within established operating limits</t>
  </si>
  <si>
    <t>Feed rate / spindle speed / coolant conditions operate outside established process window</t>
  </si>
  <si>
    <t>Increased cutting forces/temperature; poor surface finish; excessive burr; dimensional variation; reduced process consistency; rework/scrap</t>
  </si>
  <si>
    <t>Incorrect parameter setting; parameter drift; inappropriate settings for material/tool condition; inadequate coolant delivery</t>
  </si>
  <si>
    <r>
      <t>Prevention:</t>
    </r>
    <r>
      <rPr>
        <sz val="10"/>
        <rFont val="Arial"/>
        <family val="2"/>
      </rPr>
      <t xml:space="preserve"> defined machining settings. </t>
    </r>
    <r>
      <rPr>
        <b/>
        <sz val="10"/>
        <rFont val="Arial"/>
        <family val="2"/>
      </rPr>
      <t>Detection:</t>
    </r>
    <r>
      <rPr>
        <sz val="10"/>
        <rFont val="Arial"/>
        <family val="2"/>
      </rPr>
      <t xml:space="preserve"> monitoring of spindle speed, feed, coolant, temperature/load and quality inspection</t>
    </r>
  </si>
  <si>
    <t>Establish validated process windows; parameter alarms; investigate excursions; optimize feed with respect to tool wear/material conditions</t>
  </si>
  <si>
    <t>Standardize seating/clamping procedure; clean fixture contact surfaces; verify fixture condition; introduce positive setup/seating verification</t>
  </si>
  <si>
    <r>
      <t>Prevention:</t>
    </r>
    <r>
      <rPr>
        <sz val="10"/>
        <rFont val="Arial"/>
        <family val="2"/>
      </rPr>
      <t xml:space="preserve"> standard loading/clamping procedure. </t>
    </r>
    <r>
      <rPr>
        <b/>
        <sz val="10"/>
        <rFont val="Arial"/>
        <family val="2"/>
      </rPr>
      <t>Detection:</t>
    </r>
    <r>
      <rPr>
        <sz val="10"/>
        <rFont val="Arial"/>
        <family val="2"/>
      </rPr>
      <t xml:space="preserve"> setup/first-piece verification and sampled flatness inspection</t>
    </r>
  </si>
  <si>
    <t>Improper loading; contamination/debris at fixture interface; inconsistent clamping; fixture condition</t>
  </si>
  <si>
    <t>Flatness error; dimensional/geometric variation; poor mating or sealing surfaces; rework/scrap</t>
  </si>
  <si>
    <t>Workpiece improperly seated, positioned, or clamped</t>
  </si>
  <si>
    <t>Properly seat and securely clamp workpiece before machining</t>
  </si>
  <si>
    <t>PFMEA-CNC-001</t>
  </si>
  <si>
    <t>Temilola Gbadamosi-Adeniyi</t>
  </si>
  <si>
    <t>Model Year(s)</t>
  </si>
  <si>
    <t>Process Engineering, Quality Engineering, Manufacturing Engineering, Production, Maintenance</t>
  </si>
  <si>
    <t>Manufacturing / Process Engineering</t>
  </si>
  <si>
    <t>N/A – Initial Release</t>
  </si>
  <si>
    <t>Precision-Machined Aluminum Housing</t>
  </si>
  <si>
    <t>Implement preventive tool replacement within the 0.70–0.75 wear range; maintain feed rate within a controlled operating window; monitor tool-wear progression; and track material hardness as a secondary Burr-risk factor.</t>
  </si>
  <si>
    <t>Establish preventive tool replacement within the 0.70–0.75 wear range; monitor tool-wear trends; use vibration/process signals as early warning indicators; and track material machinability as a secondary Surface Roughness risk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</si>
</sst>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7" x14ac:knownFonts="1">
    <font>
      <sz val="10"/>
      <name val="Arial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horizontal="center" vertical="top" wrapText="1"/>
      <protection locked="0"/>
    </xf>
    <xf numFmtId="0" fontId="4" fillId="0" borderId="3" xfId="0" applyFont="1" applyBorder="1" applyAlignment="1" applyProtection="1">
      <alignment horizontal="center" vertical="top" wrapText="1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 applyProtection="1">
      <alignment vertical="top" wrapText="1"/>
      <protection locked="0"/>
    </xf>
    <xf numFmtId="0" fontId="5" fillId="0" borderId="7" xfId="0" applyFont="1" applyBorder="1" applyAlignment="1" applyProtection="1">
      <alignment horizontal="center" vertical="top" wrapText="1"/>
      <protection locked="0"/>
    </xf>
    <xf numFmtId="0" fontId="5" fillId="0" borderId="12" xfId="0" applyFont="1" applyBorder="1" applyAlignment="1" applyProtection="1">
      <alignment vertical="top" wrapText="1"/>
      <protection locked="0"/>
    </xf>
    <xf numFmtId="0" fontId="5" fillId="0" borderId="12" xfId="0" applyFont="1" applyBorder="1" applyAlignment="1" applyProtection="1">
      <alignment horizontal="center" vertical="top" wrapText="1"/>
      <protection locked="0"/>
    </xf>
    <xf numFmtId="0" fontId="6" fillId="2" borderId="0" xfId="0" applyFont="1" applyFill="1"/>
    <xf numFmtId="0" fontId="4" fillId="0" borderId="12" xfId="0" applyFont="1" applyBorder="1" applyAlignment="1" applyProtection="1">
      <alignment horizontal="center" vertical="top" wrapText="1"/>
      <protection locked="0"/>
    </xf>
    <xf numFmtId="0" fontId="5" fillId="0" borderId="12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0" fillId="2" borderId="1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2"/>
  <dimension ref="B2:R49"/>
  <sheetViews>
    <sheetView showGridLines="0" tabSelected="1" zoomScale="150" zoomScaleNormal="150" workbookViewId="0">
      <pane ySplit="16" topLeftCell="A22" activePane="bottomLeft" state="frozen"/>
      <selection pane="bottomLeft" activeCell="L21" sqref="L21"/>
    </sheetView>
  </sheetViews>
  <sheetFormatPr baseColWidth="10" defaultColWidth="8.83203125" defaultRowHeight="13" x14ac:dyDescent="0.15"/>
  <cols>
    <col min="1" max="1" width="1.83203125" customWidth="1"/>
    <col min="2" max="3" width="17" customWidth="1"/>
    <col min="4" max="4" width="18.33203125" customWidth="1"/>
    <col min="5" max="5" width="3.1640625" style="1" customWidth="1"/>
    <col min="6" max="6" width="13.33203125" style="1" customWidth="1"/>
    <col min="7" max="7" width="19.6640625" customWidth="1"/>
    <col min="8" max="8" width="3.33203125" style="1" customWidth="1"/>
    <col min="9" max="9" width="19.6640625" customWidth="1"/>
    <col min="10" max="10" width="3.33203125" style="1" customWidth="1"/>
    <col min="11" max="11" width="4.1640625" style="1" customWidth="1"/>
    <col min="12" max="12" width="24.5" customWidth="1"/>
    <col min="13" max="13" width="11.1640625" customWidth="1"/>
    <col min="14" max="14" width="12.5" customWidth="1"/>
    <col min="15" max="17" width="3.5" style="1" customWidth="1"/>
    <col min="18" max="18" width="3.83203125" style="1" customWidth="1"/>
  </cols>
  <sheetData>
    <row r="2" spans="2:18" x14ac:dyDescent="0.15">
      <c r="B2" s="8"/>
      <c r="C2" s="8"/>
      <c r="D2" s="8"/>
      <c r="E2" s="9"/>
      <c r="F2" s="9"/>
      <c r="G2" s="8"/>
      <c r="H2" s="10" t="s">
        <v>0</v>
      </c>
      <c r="I2" s="8"/>
      <c r="J2" s="9"/>
      <c r="K2" s="9"/>
      <c r="L2" s="8"/>
      <c r="M2" s="8"/>
      <c r="N2" s="8"/>
      <c r="O2" s="8"/>
      <c r="P2" s="9"/>
      <c r="Q2" s="9"/>
      <c r="R2" s="9"/>
    </row>
    <row r="3" spans="2:18" x14ac:dyDescent="0.15">
      <c r="B3" s="8"/>
      <c r="C3" s="8"/>
      <c r="D3" s="8"/>
      <c r="E3" s="9"/>
      <c r="F3" s="9"/>
      <c r="G3" s="8"/>
      <c r="H3" s="11" t="s">
        <v>1</v>
      </c>
      <c r="I3" s="8"/>
      <c r="J3" s="9"/>
      <c r="K3" s="9"/>
      <c r="L3" s="8"/>
      <c r="M3" s="8"/>
      <c r="N3" s="8"/>
      <c r="O3" s="8"/>
      <c r="P3" s="9"/>
      <c r="Q3" s="9"/>
      <c r="R3" s="9"/>
    </row>
    <row r="4" spans="2:18" ht="16" x14ac:dyDescent="0.2">
      <c r="B4" s="26" t="s">
        <v>2</v>
      </c>
      <c r="C4" s="12"/>
      <c r="D4" s="26" t="s">
        <v>3</v>
      </c>
      <c r="E4" s="35">
        <v>0</v>
      </c>
      <c r="F4" s="35"/>
      <c r="G4" s="8"/>
      <c r="H4" s="11" t="s">
        <v>4</v>
      </c>
      <c r="I4" s="8"/>
      <c r="J4" s="9"/>
      <c r="K4" s="9"/>
      <c r="L4" s="8"/>
      <c r="M4" s="26" t="s">
        <v>35</v>
      </c>
      <c r="N4" s="40" t="s">
        <v>82</v>
      </c>
      <c r="O4" s="35"/>
      <c r="P4" s="35"/>
      <c r="Q4" s="35"/>
      <c r="R4" s="9"/>
    </row>
    <row r="5" spans="2:18" ht="6.75" customHeight="1" x14ac:dyDescent="0.15">
      <c r="B5" s="8"/>
      <c r="C5" s="8"/>
      <c r="D5" s="8"/>
      <c r="E5" s="9"/>
      <c r="F5" s="9"/>
      <c r="G5" s="8"/>
      <c r="H5" s="9"/>
      <c r="I5" s="8"/>
      <c r="J5" s="9"/>
      <c r="K5" s="9"/>
      <c r="L5" s="8"/>
      <c r="M5" s="8"/>
      <c r="N5" s="8"/>
      <c r="O5" s="8"/>
      <c r="P5" s="9"/>
      <c r="Q5" s="9"/>
      <c r="R5" s="9"/>
    </row>
    <row r="6" spans="2:18" ht="16" x14ac:dyDescent="0.2">
      <c r="B6" s="26" t="s">
        <v>5</v>
      </c>
      <c r="C6" s="36" t="s">
        <v>88</v>
      </c>
      <c r="D6" s="37"/>
      <c r="E6" s="37"/>
      <c r="F6" s="9"/>
      <c r="G6" s="26" t="s">
        <v>34</v>
      </c>
      <c r="H6" s="40" t="s">
        <v>86</v>
      </c>
      <c r="I6" s="35"/>
      <c r="J6" s="35"/>
      <c r="K6" s="35"/>
      <c r="L6" s="8"/>
      <c r="M6" s="26" t="s">
        <v>36</v>
      </c>
      <c r="N6" s="48" t="s">
        <v>83</v>
      </c>
      <c r="O6" s="41"/>
      <c r="P6" s="41"/>
      <c r="Q6" s="41"/>
      <c r="R6" s="9"/>
    </row>
    <row r="7" spans="2:18" ht="6.75" customHeight="1" x14ac:dyDescent="0.2">
      <c r="B7" s="26"/>
      <c r="C7" s="8"/>
      <c r="D7" s="8"/>
      <c r="E7" s="9"/>
      <c r="F7" s="9"/>
      <c r="G7" s="8"/>
      <c r="H7" s="9"/>
      <c r="I7" s="8"/>
      <c r="J7" s="9"/>
      <c r="K7" s="9"/>
      <c r="L7" s="8"/>
      <c r="M7" s="8"/>
      <c r="N7" s="8"/>
      <c r="O7" s="8"/>
      <c r="P7" s="9"/>
      <c r="Q7" s="9"/>
      <c r="R7" s="9"/>
    </row>
    <row r="8" spans="2:18" ht="16" x14ac:dyDescent="0.2">
      <c r="B8" s="26" t="s">
        <v>84</v>
      </c>
      <c r="C8" s="8"/>
      <c r="D8" s="35" t="s">
        <v>24</v>
      </c>
      <c r="E8" s="35"/>
      <c r="F8" s="9"/>
      <c r="G8" s="26" t="s">
        <v>6</v>
      </c>
      <c r="H8" s="41" t="s">
        <v>24</v>
      </c>
      <c r="I8" s="41"/>
      <c r="J8" s="41"/>
      <c r="K8" s="41"/>
      <c r="L8" s="8"/>
      <c r="M8" s="26" t="s">
        <v>7</v>
      </c>
      <c r="N8" s="52"/>
      <c r="O8" s="52"/>
      <c r="P8" s="52"/>
      <c r="Q8" s="52"/>
      <c r="R8" s="9"/>
    </row>
    <row r="9" spans="2:18" ht="6.75" customHeight="1" x14ac:dyDescent="0.2">
      <c r="B9" s="8"/>
      <c r="C9" s="8"/>
      <c r="D9" s="8"/>
      <c r="E9" s="9"/>
      <c r="F9" s="9"/>
      <c r="G9" s="26"/>
      <c r="H9" s="9"/>
      <c r="I9" s="8"/>
      <c r="J9" s="9"/>
      <c r="K9" s="9"/>
      <c r="L9" s="8"/>
      <c r="M9" s="8"/>
      <c r="N9" s="8"/>
      <c r="O9" s="8"/>
      <c r="P9" s="9"/>
      <c r="Q9" s="9"/>
      <c r="R9" s="9"/>
    </row>
    <row r="10" spans="2:18" ht="47" customHeight="1" x14ac:dyDescent="0.2">
      <c r="B10" s="26" t="s">
        <v>8</v>
      </c>
      <c r="C10" s="38" t="s">
        <v>85</v>
      </c>
      <c r="D10" s="39"/>
      <c r="E10" s="39"/>
      <c r="F10" s="9"/>
      <c r="G10" s="8"/>
      <c r="H10" s="9"/>
      <c r="I10" s="8"/>
      <c r="J10" s="9"/>
      <c r="K10" s="9"/>
      <c r="L10" s="8"/>
      <c r="M10" s="26" t="s">
        <v>9</v>
      </c>
      <c r="N10" s="48" t="s">
        <v>87</v>
      </c>
      <c r="O10" s="41"/>
      <c r="P10" s="41"/>
      <c r="Q10" s="41"/>
      <c r="R10" s="9"/>
    </row>
    <row r="11" spans="2:18" ht="8.25" customHeight="1" x14ac:dyDescent="0.15"/>
    <row r="12" spans="2:18" ht="9.75" customHeight="1" x14ac:dyDescent="0.15">
      <c r="B12" s="32" t="s">
        <v>10</v>
      </c>
      <c r="C12" s="32" t="s">
        <v>11</v>
      </c>
      <c r="D12" s="32" t="s">
        <v>12</v>
      </c>
      <c r="E12" s="13"/>
      <c r="F12" s="14" t="s">
        <v>13</v>
      </c>
      <c r="G12" s="32" t="s">
        <v>26</v>
      </c>
      <c r="H12" s="15"/>
      <c r="I12" s="49" t="s">
        <v>25</v>
      </c>
      <c r="J12" s="15"/>
      <c r="K12" s="15"/>
      <c r="L12" s="32" t="s">
        <v>16</v>
      </c>
      <c r="M12" s="32" t="s">
        <v>33</v>
      </c>
      <c r="N12" s="42" t="s">
        <v>17</v>
      </c>
      <c r="O12" s="43"/>
      <c r="P12" s="43"/>
      <c r="Q12" s="43"/>
      <c r="R12" s="44"/>
    </row>
    <row r="13" spans="2:18" ht="11" customHeight="1" x14ac:dyDescent="0.15">
      <c r="B13" s="33"/>
      <c r="C13" s="33"/>
      <c r="D13" s="33"/>
      <c r="E13" s="16" t="s">
        <v>18</v>
      </c>
      <c r="F13" s="17" t="s">
        <v>19</v>
      </c>
      <c r="G13" s="33"/>
      <c r="H13" s="18" t="s">
        <v>14</v>
      </c>
      <c r="I13" s="50"/>
      <c r="J13" s="18" t="s">
        <v>15</v>
      </c>
      <c r="K13" s="18" t="s">
        <v>29</v>
      </c>
      <c r="L13" s="33"/>
      <c r="M13" s="33"/>
      <c r="N13" s="45"/>
      <c r="O13" s="46"/>
      <c r="P13" s="46"/>
      <c r="Q13" s="46"/>
      <c r="R13" s="47"/>
    </row>
    <row r="14" spans="2:18" ht="11" customHeight="1" x14ac:dyDescent="0.15">
      <c r="B14" s="33"/>
      <c r="C14" s="33"/>
      <c r="D14" s="33"/>
      <c r="E14" s="16" t="s">
        <v>27</v>
      </c>
      <c r="F14" s="17" t="s">
        <v>20</v>
      </c>
      <c r="G14" s="33"/>
      <c r="H14" s="18" t="s">
        <v>13</v>
      </c>
      <c r="I14" s="50"/>
      <c r="J14" s="18" t="s">
        <v>27</v>
      </c>
      <c r="K14" s="18" t="s">
        <v>30</v>
      </c>
      <c r="L14" s="33"/>
      <c r="M14" s="33"/>
      <c r="N14" s="32" t="s">
        <v>21</v>
      </c>
      <c r="O14" s="15" t="s">
        <v>18</v>
      </c>
      <c r="P14" s="15" t="s">
        <v>14</v>
      </c>
      <c r="Q14" s="15" t="s">
        <v>15</v>
      </c>
      <c r="R14" s="15" t="s">
        <v>29</v>
      </c>
    </row>
    <row r="15" spans="2:18" ht="11" customHeight="1" x14ac:dyDescent="0.15">
      <c r="B15" s="33"/>
      <c r="C15" s="33"/>
      <c r="D15" s="33"/>
      <c r="E15" s="16" t="s">
        <v>28</v>
      </c>
      <c r="F15" s="17" t="s">
        <v>22</v>
      </c>
      <c r="G15" s="33"/>
      <c r="H15" s="18" t="s">
        <v>13</v>
      </c>
      <c r="I15" s="50"/>
      <c r="J15" s="18" t="s">
        <v>32</v>
      </c>
      <c r="K15" s="18" t="s">
        <v>31</v>
      </c>
      <c r="L15" s="33"/>
      <c r="M15" s="33"/>
      <c r="N15" s="33"/>
      <c r="O15" s="18" t="s">
        <v>27</v>
      </c>
      <c r="P15" s="18" t="s">
        <v>13</v>
      </c>
      <c r="Q15" s="18" t="s">
        <v>27</v>
      </c>
      <c r="R15" s="18" t="s">
        <v>30</v>
      </c>
    </row>
    <row r="16" spans="2:18" ht="14" customHeight="1" x14ac:dyDescent="0.15">
      <c r="B16" s="34"/>
      <c r="C16" s="34"/>
      <c r="D16" s="34"/>
      <c r="E16" s="19"/>
      <c r="F16" s="20" t="s">
        <v>22</v>
      </c>
      <c r="G16" s="34"/>
      <c r="H16" s="21"/>
      <c r="I16" s="51"/>
      <c r="J16" s="21"/>
      <c r="K16" s="21"/>
      <c r="L16" s="34"/>
      <c r="M16" s="34"/>
      <c r="N16" s="34"/>
      <c r="O16" s="21" t="s">
        <v>28</v>
      </c>
      <c r="P16" s="21" t="s">
        <v>13</v>
      </c>
      <c r="Q16" s="21" t="s">
        <v>23</v>
      </c>
      <c r="R16" s="21" t="s">
        <v>31</v>
      </c>
    </row>
    <row r="17" spans="2:18" ht="226" customHeight="1" x14ac:dyDescent="0.15">
      <c r="B17" s="22" t="s">
        <v>37</v>
      </c>
      <c r="C17" s="22" t="s">
        <v>38</v>
      </c>
      <c r="D17" s="22" t="s">
        <v>39</v>
      </c>
      <c r="E17" s="23">
        <v>7</v>
      </c>
      <c r="F17" s="23" t="s">
        <v>40</v>
      </c>
      <c r="G17" s="22" t="s">
        <v>44</v>
      </c>
      <c r="H17" s="23">
        <v>6</v>
      </c>
      <c r="I17" s="22" t="s">
        <v>41</v>
      </c>
      <c r="J17" s="23">
        <v>4</v>
      </c>
      <c r="K17" s="23">
        <f t="shared" ref="K17:K49" si="0">IF(E17&lt;&gt;"",E17*H17*J17,"")</f>
        <v>168</v>
      </c>
      <c r="L17" s="22" t="s">
        <v>90</v>
      </c>
      <c r="M17" s="22" t="s">
        <v>42</v>
      </c>
      <c r="N17" s="22" t="s">
        <v>43</v>
      </c>
      <c r="O17" s="22"/>
      <c r="P17" s="22"/>
      <c r="Q17" s="22"/>
      <c r="R17" s="24"/>
    </row>
    <row r="18" spans="2:18" ht="128" customHeight="1" x14ac:dyDescent="0.15">
      <c r="B18" s="24" t="s">
        <v>45</v>
      </c>
      <c r="C18" s="24" t="s">
        <v>46</v>
      </c>
      <c r="D18" s="24" t="s">
        <v>47</v>
      </c>
      <c r="E18" s="25">
        <v>6</v>
      </c>
      <c r="F18" s="25" t="s">
        <v>40</v>
      </c>
      <c r="G18" s="24" t="s">
        <v>48</v>
      </c>
      <c r="H18" s="25">
        <v>5</v>
      </c>
      <c r="I18" s="24" t="s">
        <v>49</v>
      </c>
      <c r="J18" s="25">
        <v>3</v>
      </c>
      <c r="K18" s="25">
        <f t="shared" si="0"/>
        <v>90</v>
      </c>
      <c r="L18" s="24" t="s">
        <v>89</v>
      </c>
      <c r="M18" s="24" t="s">
        <v>50</v>
      </c>
      <c r="N18" s="24" t="s">
        <v>51</v>
      </c>
      <c r="O18" s="25"/>
      <c r="P18" s="25"/>
      <c r="Q18" s="25"/>
      <c r="R18" s="25" t="str">
        <f t="shared" ref="R18:R49" si="1">IF(O18&lt;&gt;"",O18*P18*Q18,"")</f>
        <v/>
      </c>
    </row>
    <row r="19" spans="2:18" ht="126" x14ac:dyDescent="0.15">
      <c r="B19" s="28" t="s">
        <v>52</v>
      </c>
      <c r="C19" s="28" t="s">
        <v>53</v>
      </c>
      <c r="D19" s="28" t="s">
        <v>54</v>
      </c>
      <c r="E19" s="27">
        <v>7</v>
      </c>
      <c r="F19" s="25" t="s">
        <v>40</v>
      </c>
      <c r="G19" s="28" t="s">
        <v>55</v>
      </c>
      <c r="H19" s="27">
        <v>3</v>
      </c>
      <c r="I19" s="24" t="s">
        <v>56</v>
      </c>
      <c r="J19" s="25">
        <v>5</v>
      </c>
      <c r="K19" s="25">
        <f>IF(E19&lt;&gt;"",E19*H19*J19,"")</f>
        <v>105</v>
      </c>
      <c r="L19" s="28" t="s">
        <v>57</v>
      </c>
      <c r="M19" s="24" t="s">
        <v>50</v>
      </c>
      <c r="N19" s="24" t="s">
        <v>51</v>
      </c>
      <c r="O19" s="27"/>
      <c r="P19" s="27"/>
      <c r="Q19" s="27"/>
      <c r="R19" s="27" t="str">
        <f t="shared" si="1"/>
        <v/>
      </c>
    </row>
    <row r="20" spans="2:18" s="29" customFormat="1" ht="168" x14ac:dyDescent="0.15">
      <c r="B20" s="28" t="s">
        <v>58</v>
      </c>
      <c r="C20" s="28" t="s">
        <v>59</v>
      </c>
      <c r="D20" s="28" t="s">
        <v>60</v>
      </c>
      <c r="E20" s="25">
        <v>7</v>
      </c>
      <c r="F20" s="25" t="s">
        <v>40</v>
      </c>
      <c r="G20" s="28" t="s">
        <v>61</v>
      </c>
      <c r="H20" s="25">
        <v>2</v>
      </c>
      <c r="I20" s="31" t="s">
        <v>62</v>
      </c>
      <c r="J20" s="25">
        <v>4</v>
      </c>
      <c r="K20" s="25">
        <f t="shared" si="0"/>
        <v>56</v>
      </c>
      <c r="L20" s="24" t="s">
        <v>63</v>
      </c>
      <c r="M20" s="24" t="s">
        <v>50</v>
      </c>
      <c r="N20" s="24" t="s">
        <v>51</v>
      </c>
      <c r="O20" s="25"/>
      <c r="P20" s="25"/>
      <c r="Q20" s="25"/>
      <c r="R20" s="25" t="str">
        <f t="shared" si="1"/>
        <v/>
      </c>
    </row>
    <row r="21" spans="2:18" s="30" customFormat="1" ht="112" x14ac:dyDescent="0.15">
      <c r="B21" s="28" t="s">
        <v>64</v>
      </c>
      <c r="C21" s="28" t="s">
        <v>65</v>
      </c>
      <c r="D21" s="28" t="s">
        <v>66</v>
      </c>
      <c r="E21" s="25">
        <v>7</v>
      </c>
      <c r="F21" s="25" t="s">
        <v>40</v>
      </c>
      <c r="G21" s="28" t="s">
        <v>67</v>
      </c>
      <c r="H21" s="25">
        <v>6</v>
      </c>
      <c r="I21" s="31" t="s">
        <v>68</v>
      </c>
      <c r="J21" s="25">
        <v>4</v>
      </c>
      <c r="K21" s="25">
        <f t="shared" si="0"/>
        <v>168</v>
      </c>
      <c r="L21" s="28" t="s">
        <v>69</v>
      </c>
      <c r="M21" s="24" t="s">
        <v>50</v>
      </c>
      <c r="N21" s="24" t="s">
        <v>51</v>
      </c>
      <c r="O21" s="25"/>
      <c r="P21" s="25"/>
      <c r="Q21" s="25"/>
      <c r="R21" s="25" t="str">
        <f t="shared" si="1"/>
        <v/>
      </c>
    </row>
    <row r="22" spans="2:18" s="30" customFormat="1" ht="112" x14ac:dyDescent="0.15">
      <c r="B22" s="28" t="s">
        <v>70</v>
      </c>
      <c r="C22" s="28" t="s">
        <v>71</v>
      </c>
      <c r="D22" s="28" t="s">
        <v>72</v>
      </c>
      <c r="E22" s="27">
        <v>7</v>
      </c>
      <c r="F22" s="25" t="s">
        <v>40</v>
      </c>
      <c r="G22" s="28" t="s">
        <v>73</v>
      </c>
      <c r="H22" s="27">
        <v>4</v>
      </c>
      <c r="I22" s="31" t="s">
        <v>74</v>
      </c>
      <c r="J22" s="27">
        <v>3</v>
      </c>
      <c r="K22" s="27">
        <f t="shared" si="0"/>
        <v>84</v>
      </c>
      <c r="L22" s="28" t="s">
        <v>75</v>
      </c>
      <c r="M22" s="24" t="s">
        <v>50</v>
      </c>
      <c r="N22" s="24" t="s">
        <v>51</v>
      </c>
      <c r="O22" s="27"/>
      <c r="P22" s="27"/>
      <c r="Q22" s="27"/>
      <c r="R22" s="27" t="str">
        <f t="shared" si="1"/>
        <v/>
      </c>
    </row>
    <row r="23" spans="2:18" ht="98" x14ac:dyDescent="0.15">
      <c r="B23" s="28" t="s">
        <v>81</v>
      </c>
      <c r="C23" s="28" t="s">
        <v>80</v>
      </c>
      <c r="D23" s="28" t="s">
        <v>79</v>
      </c>
      <c r="E23" s="27">
        <v>7</v>
      </c>
      <c r="F23" s="25" t="s">
        <v>40</v>
      </c>
      <c r="G23" s="28" t="s">
        <v>78</v>
      </c>
      <c r="H23" s="27">
        <v>3</v>
      </c>
      <c r="I23" s="31" t="s">
        <v>77</v>
      </c>
      <c r="J23" s="27">
        <v>5</v>
      </c>
      <c r="K23" s="27">
        <f t="shared" si="0"/>
        <v>105</v>
      </c>
      <c r="L23" s="28" t="s">
        <v>76</v>
      </c>
      <c r="M23" s="24" t="s">
        <v>50</v>
      </c>
      <c r="N23" s="24" t="s">
        <v>51</v>
      </c>
      <c r="O23" s="27"/>
      <c r="P23" s="27"/>
      <c r="Q23" s="27"/>
      <c r="R23" s="27" t="str">
        <f t="shared" si="1"/>
        <v/>
      </c>
    </row>
    <row r="24" spans="2:18" x14ac:dyDescent="0.15">
      <c r="B24" s="2"/>
      <c r="C24" s="2"/>
      <c r="D24" s="2"/>
      <c r="E24" s="3"/>
      <c r="F24" s="3"/>
      <c r="G24" s="2"/>
      <c r="H24" s="3"/>
      <c r="I24" s="2"/>
      <c r="J24" s="3"/>
      <c r="K24" s="3" t="str">
        <f t="shared" si="0"/>
        <v/>
      </c>
      <c r="L24" s="2"/>
      <c r="M24" s="2"/>
      <c r="N24" s="2"/>
      <c r="O24" s="3"/>
      <c r="P24" s="3"/>
      <c r="Q24" s="3"/>
      <c r="R24" s="4" t="str">
        <f t="shared" si="1"/>
        <v/>
      </c>
    </row>
    <row r="25" spans="2:18" x14ac:dyDescent="0.15">
      <c r="B25" s="2"/>
      <c r="C25" s="2"/>
      <c r="D25" s="2"/>
      <c r="E25" s="3"/>
      <c r="F25" s="3"/>
      <c r="G25" s="2"/>
      <c r="H25" s="3"/>
      <c r="I25" s="2"/>
      <c r="J25" s="3"/>
      <c r="K25" s="3" t="str">
        <f t="shared" si="0"/>
        <v/>
      </c>
      <c r="L25" s="2"/>
      <c r="M25" s="2"/>
      <c r="N25" s="2"/>
      <c r="O25" s="3"/>
      <c r="P25" s="3"/>
      <c r="Q25" s="3"/>
      <c r="R25" s="4" t="str">
        <f t="shared" si="1"/>
        <v/>
      </c>
    </row>
    <row r="26" spans="2:18" x14ac:dyDescent="0.15">
      <c r="B26" s="2"/>
      <c r="C26" s="2"/>
      <c r="D26" s="2"/>
      <c r="E26" s="3"/>
      <c r="F26" s="3"/>
      <c r="G26" s="2"/>
      <c r="H26" s="3"/>
      <c r="I26" s="2"/>
      <c r="J26" s="3"/>
      <c r="K26" s="3" t="str">
        <f t="shared" si="0"/>
        <v/>
      </c>
      <c r="L26" s="2"/>
      <c r="M26" s="2"/>
      <c r="N26" s="2"/>
      <c r="O26" s="3"/>
      <c r="P26" s="3"/>
      <c r="Q26" s="3"/>
      <c r="R26" s="4" t="str">
        <f t="shared" si="1"/>
        <v/>
      </c>
    </row>
    <row r="27" spans="2:18" x14ac:dyDescent="0.15">
      <c r="B27" s="2"/>
      <c r="C27" s="2"/>
      <c r="D27" s="2"/>
      <c r="E27" s="3"/>
      <c r="F27" s="3"/>
      <c r="G27" s="2"/>
      <c r="H27" s="3"/>
      <c r="I27" s="2"/>
      <c r="J27" s="3"/>
      <c r="K27" s="3" t="str">
        <f t="shared" si="0"/>
        <v/>
      </c>
      <c r="L27" s="2"/>
      <c r="M27" s="2"/>
      <c r="N27" s="2"/>
      <c r="O27" s="3"/>
      <c r="P27" s="3"/>
      <c r="Q27" s="3"/>
      <c r="R27" s="4" t="str">
        <f t="shared" si="1"/>
        <v/>
      </c>
    </row>
    <row r="28" spans="2:18" x14ac:dyDescent="0.15">
      <c r="B28" s="2"/>
      <c r="C28" s="2"/>
      <c r="D28" s="2"/>
      <c r="E28" s="3"/>
      <c r="F28" s="3"/>
      <c r="G28" s="2"/>
      <c r="H28" s="3"/>
      <c r="I28" s="2"/>
      <c r="J28" s="3"/>
      <c r="K28" s="3" t="str">
        <f t="shared" si="0"/>
        <v/>
      </c>
      <c r="L28" s="2"/>
      <c r="M28" s="2"/>
      <c r="N28" s="2"/>
      <c r="O28" s="3"/>
      <c r="P28" s="3"/>
      <c r="Q28" s="3"/>
      <c r="R28" s="4" t="str">
        <f t="shared" si="1"/>
        <v/>
      </c>
    </row>
    <row r="29" spans="2:18" x14ac:dyDescent="0.15">
      <c r="B29" s="2"/>
      <c r="C29" s="2"/>
      <c r="D29" s="2"/>
      <c r="E29" s="3"/>
      <c r="F29" s="3"/>
      <c r="G29" s="2"/>
      <c r="H29" s="3"/>
      <c r="I29" s="2"/>
      <c r="J29" s="3"/>
      <c r="K29" s="3" t="str">
        <f t="shared" si="0"/>
        <v/>
      </c>
      <c r="L29" s="2"/>
      <c r="M29" s="2"/>
      <c r="N29" s="2"/>
      <c r="O29" s="3"/>
      <c r="P29" s="3"/>
      <c r="Q29" s="3"/>
      <c r="R29" s="4" t="str">
        <f t="shared" si="1"/>
        <v/>
      </c>
    </row>
    <row r="30" spans="2:18" x14ac:dyDescent="0.15">
      <c r="B30" s="2"/>
      <c r="C30" s="2"/>
      <c r="D30" s="2"/>
      <c r="E30" s="3"/>
      <c r="F30" s="3"/>
      <c r="G30" s="2"/>
      <c r="H30" s="3"/>
      <c r="I30" s="2"/>
      <c r="J30" s="3"/>
      <c r="K30" s="3" t="str">
        <f t="shared" si="0"/>
        <v/>
      </c>
      <c r="L30" s="2"/>
      <c r="M30" s="2"/>
      <c r="N30" s="2"/>
      <c r="O30" s="3"/>
      <c r="P30" s="3"/>
      <c r="Q30" s="3"/>
      <c r="R30" s="4" t="str">
        <f t="shared" si="1"/>
        <v/>
      </c>
    </row>
    <row r="31" spans="2:18" x14ac:dyDescent="0.15">
      <c r="B31" s="2"/>
      <c r="C31" s="2"/>
      <c r="D31" s="2"/>
      <c r="E31" s="3"/>
      <c r="F31" s="3"/>
      <c r="G31" s="2"/>
      <c r="H31" s="3"/>
      <c r="I31" s="2"/>
      <c r="J31" s="3"/>
      <c r="K31" s="3" t="str">
        <f t="shared" si="0"/>
        <v/>
      </c>
      <c r="L31" s="2"/>
      <c r="M31" s="2"/>
      <c r="N31" s="2"/>
      <c r="O31" s="3"/>
      <c r="P31" s="3"/>
      <c r="Q31" s="3"/>
      <c r="R31" s="4" t="str">
        <f t="shared" si="1"/>
        <v/>
      </c>
    </row>
    <row r="32" spans="2:18" x14ac:dyDescent="0.15">
      <c r="B32" s="2"/>
      <c r="C32" s="2"/>
      <c r="D32" s="2"/>
      <c r="E32" s="3"/>
      <c r="F32" s="3"/>
      <c r="G32" s="2"/>
      <c r="H32" s="3"/>
      <c r="I32" s="2"/>
      <c r="J32" s="3"/>
      <c r="K32" s="3" t="str">
        <f t="shared" si="0"/>
        <v/>
      </c>
      <c r="L32" s="2"/>
      <c r="M32" s="2"/>
      <c r="N32" s="2"/>
      <c r="O32" s="3"/>
      <c r="P32" s="3"/>
      <c r="Q32" s="3"/>
      <c r="R32" s="4" t="str">
        <f t="shared" si="1"/>
        <v/>
      </c>
    </row>
    <row r="33" spans="2:18" x14ac:dyDescent="0.15">
      <c r="B33" s="2"/>
      <c r="C33" s="2"/>
      <c r="D33" s="2"/>
      <c r="E33" s="3"/>
      <c r="F33" s="3"/>
      <c r="G33" s="2"/>
      <c r="H33" s="3"/>
      <c r="I33" s="2"/>
      <c r="J33" s="3"/>
      <c r="K33" s="3" t="str">
        <f t="shared" si="0"/>
        <v/>
      </c>
      <c r="L33" s="2"/>
      <c r="M33" s="2"/>
      <c r="N33" s="2"/>
      <c r="O33" s="3"/>
      <c r="P33" s="3"/>
      <c r="Q33" s="3"/>
      <c r="R33" s="4" t="str">
        <f t="shared" si="1"/>
        <v/>
      </c>
    </row>
    <row r="34" spans="2:18" x14ac:dyDescent="0.15">
      <c r="B34" s="2"/>
      <c r="C34" s="2"/>
      <c r="D34" s="2"/>
      <c r="E34" s="3"/>
      <c r="F34" s="3"/>
      <c r="G34" s="2"/>
      <c r="H34" s="3"/>
      <c r="I34" s="2"/>
      <c r="J34" s="3"/>
      <c r="K34" s="3" t="str">
        <f t="shared" si="0"/>
        <v/>
      </c>
      <c r="L34" s="2"/>
      <c r="M34" s="2"/>
      <c r="N34" s="2"/>
      <c r="O34" s="3"/>
      <c r="P34" s="3"/>
      <c r="Q34" s="3"/>
      <c r="R34" s="4" t="str">
        <f t="shared" si="1"/>
        <v/>
      </c>
    </row>
    <row r="35" spans="2:18" x14ac:dyDescent="0.15">
      <c r="B35" s="2"/>
      <c r="C35" s="2"/>
      <c r="D35" s="2"/>
      <c r="E35" s="3"/>
      <c r="F35" s="3"/>
      <c r="G35" s="2"/>
      <c r="H35" s="3"/>
      <c r="I35" s="2"/>
      <c r="J35" s="3"/>
      <c r="K35" s="3" t="str">
        <f t="shared" si="0"/>
        <v/>
      </c>
      <c r="L35" s="2"/>
      <c r="M35" s="2"/>
      <c r="N35" s="2"/>
      <c r="O35" s="3"/>
      <c r="P35" s="3"/>
      <c r="Q35" s="3"/>
      <c r="R35" s="4" t="str">
        <f t="shared" si="1"/>
        <v/>
      </c>
    </row>
    <row r="36" spans="2:18" x14ac:dyDescent="0.15">
      <c r="B36" s="2"/>
      <c r="C36" s="2"/>
      <c r="D36" s="2"/>
      <c r="E36" s="3"/>
      <c r="F36" s="3"/>
      <c r="G36" s="2"/>
      <c r="H36" s="3"/>
      <c r="I36" s="2"/>
      <c r="J36" s="3"/>
      <c r="K36" s="3" t="str">
        <f t="shared" si="0"/>
        <v/>
      </c>
      <c r="L36" s="2"/>
      <c r="M36" s="2"/>
      <c r="N36" s="2"/>
      <c r="O36" s="3"/>
      <c r="P36" s="3"/>
      <c r="Q36" s="3"/>
      <c r="R36" s="4" t="str">
        <f t="shared" si="1"/>
        <v/>
      </c>
    </row>
    <row r="37" spans="2:18" x14ac:dyDescent="0.15">
      <c r="B37" s="2"/>
      <c r="C37" s="2"/>
      <c r="D37" s="2"/>
      <c r="E37" s="3"/>
      <c r="F37" s="3"/>
      <c r="G37" s="2"/>
      <c r="H37" s="3"/>
      <c r="I37" s="2"/>
      <c r="J37" s="3"/>
      <c r="K37" s="3" t="str">
        <f t="shared" si="0"/>
        <v/>
      </c>
      <c r="L37" s="2"/>
      <c r="M37" s="2"/>
      <c r="N37" s="2"/>
      <c r="O37" s="3"/>
      <c r="P37" s="3"/>
      <c r="Q37" s="3"/>
      <c r="R37" s="4" t="str">
        <f t="shared" si="1"/>
        <v/>
      </c>
    </row>
    <row r="38" spans="2:18" x14ac:dyDescent="0.15">
      <c r="B38" s="2"/>
      <c r="C38" s="2"/>
      <c r="D38" s="2"/>
      <c r="E38" s="3"/>
      <c r="F38" s="3"/>
      <c r="G38" s="2"/>
      <c r="H38" s="3"/>
      <c r="I38" s="2"/>
      <c r="J38" s="3"/>
      <c r="K38" s="3" t="str">
        <f t="shared" si="0"/>
        <v/>
      </c>
      <c r="L38" s="2"/>
      <c r="M38" s="2"/>
      <c r="N38" s="2"/>
      <c r="O38" s="3"/>
      <c r="P38" s="3"/>
      <c r="Q38" s="3"/>
      <c r="R38" s="4" t="str">
        <f t="shared" si="1"/>
        <v/>
      </c>
    </row>
    <row r="39" spans="2:18" x14ac:dyDescent="0.15">
      <c r="B39" s="2"/>
      <c r="C39" s="2"/>
      <c r="D39" s="2"/>
      <c r="E39" s="3"/>
      <c r="F39" s="3"/>
      <c r="G39" s="2"/>
      <c r="H39" s="3"/>
      <c r="I39" s="2"/>
      <c r="J39" s="3"/>
      <c r="K39" s="3" t="str">
        <f t="shared" si="0"/>
        <v/>
      </c>
      <c r="L39" s="2"/>
      <c r="M39" s="2"/>
      <c r="N39" s="2"/>
      <c r="O39" s="3"/>
      <c r="P39" s="3"/>
      <c r="Q39" s="3"/>
      <c r="R39" s="4" t="str">
        <f t="shared" si="1"/>
        <v/>
      </c>
    </row>
    <row r="40" spans="2:18" x14ac:dyDescent="0.15">
      <c r="B40" s="2"/>
      <c r="C40" s="2"/>
      <c r="D40" s="2"/>
      <c r="E40" s="3"/>
      <c r="F40" s="3"/>
      <c r="G40" s="2"/>
      <c r="H40" s="3"/>
      <c r="I40" s="2"/>
      <c r="J40" s="3"/>
      <c r="K40" s="3" t="str">
        <f t="shared" si="0"/>
        <v/>
      </c>
      <c r="L40" s="2"/>
      <c r="M40" s="2"/>
      <c r="N40" s="2"/>
      <c r="O40" s="3"/>
      <c r="P40" s="3"/>
      <c r="Q40" s="3"/>
      <c r="R40" s="4" t="str">
        <f t="shared" si="1"/>
        <v/>
      </c>
    </row>
    <row r="41" spans="2:18" x14ac:dyDescent="0.15">
      <c r="B41" s="2"/>
      <c r="C41" s="2"/>
      <c r="D41" s="2"/>
      <c r="E41" s="3"/>
      <c r="F41" s="3"/>
      <c r="G41" s="2"/>
      <c r="H41" s="3"/>
      <c r="I41" s="2"/>
      <c r="J41" s="3"/>
      <c r="K41" s="3" t="str">
        <f t="shared" si="0"/>
        <v/>
      </c>
      <c r="L41" s="2"/>
      <c r="M41" s="2"/>
      <c r="N41" s="2"/>
      <c r="O41" s="3"/>
      <c r="P41" s="3"/>
      <c r="Q41" s="3"/>
      <c r="R41" s="4" t="str">
        <f t="shared" si="1"/>
        <v/>
      </c>
    </row>
    <row r="42" spans="2:18" x14ac:dyDescent="0.15">
      <c r="B42" s="2"/>
      <c r="C42" s="2"/>
      <c r="D42" s="2"/>
      <c r="E42" s="3"/>
      <c r="F42" s="3"/>
      <c r="G42" s="2"/>
      <c r="H42" s="3"/>
      <c r="I42" s="2"/>
      <c r="J42" s="3"/>
      <c r="K42" s="3" t="str">
        <f t="shared" si="0"/>
        <v/>
      </c>
      <c r="L42" s="2"/>
      <c r="M42" s="2"/>
      <c r="N42" s="2"/>
      <c r="O42" s="3"/>
      <c r="P42" s="3"/>
      <c r="Q42" s="3"/>
      <c r="R42" s="4" t="str">
        <f t="shared" si="1"/>
        <v/>
      </c>
    </row>
    <row r="43" spans="2:18" x14ac:dyDescent="0.15">
      <c r="B43" s="2"/>
      <c r="C43" s="2"/>
      <c r="D43" s="2"/>
      <c r="E43" s="3"/>
      <c r="F43" s="3"/>
      <c r="G43" s="2"/>
      <c r="H43" s="3"/>
      <c r="I43" s="2"/>
      <c r="J43" s="3"/>
      <c r="K43" s="3" t="str">
        <f t="shared" si="0"/>
        <v/>
      </c>
      <c r="L43" s="2"/>
      <c r="M43" s="2"/>
      <c r="N43" s="2"/>
      <c r="O43" s="3"/>
      <c r="P43" s="3"/>
      <c r="Q43" s="3"/>
      <c r="R43" s="4" t="str">
        <f t="shared" si="1"/>
        <v/>
      </c>
    </row>
    <row r="44" spans="2:18" x14ac:dyDescent="0.15">
      <c r="B44" s="2"/>
      <c r="C44" s="2"/>
      <c r="D44" s="2"/>
      <c r="E44" s="3"/>
      <c r="F44" s="3"/>
      <c r="G44" s="2"/>
      <c r="H44" s="3"/>
      <c r="I44" s="2"/>
      <c r="J44" s="3"/>
      <c r="K44" s="3" t="str">
        <f t="shared" si="0"/>
        <v/>
      </c>
      <c r="L44" s="2"/>
      <c r="M44" s="2"/>
      <c r="N44" s="2"/>
      <c r="O44" s="3"/>
      <c r="P44" s="3"/>
      <c r="Q44" s="3"/>
      <c r="R44" s="4" t="str">
        <f t="shared" si="1"/>
        <v/>
      </c>
    </row>
    <row r="45" spans="2:18" x14ac:dyDescent="0.15">
      <c r="B45" s="2"/>
      <c r="C45" s="2"/>
      <c r="D45" s="2"/>
      <c r="E45" s="3"/>
      <c r="F45" s="3"/>
      <c r="G45" s="2"/>
      <c r="H45" s="3"/>
      <c r="I45" s="2"/>
      <c r="J45" s="3"/>
      <c r="K45" s="3" t="str">
        <f t="shared" si="0"/>
        <v/>
      </c>
      <c r="L45" s="2"/>
      <c r="M45" s="2"/>
      <c r="N45" s="2"/>
      <c r="O45" s="3"/>
      <c r="P45" s="3"/>
      <c r="Q45" s="3"/>
      <c r="R45" s="4" t="str">
        <f t="shared" si="1"/>
        <v/>
      </c>
    </row>
    <row r="46" spans="2:18" x14ac:dyDescent="0.15">
      <c r="B46" s="2"/>
      <c r="C46" s="2"/>
      <c r="D46" s="2"/>
      <c r="E46" s="3"/>
      <c r="F46" s="3"/>
      <c r="G46" s="2"/>
      <c r="H46" s="3"/>
      <c r="I46" s="2"/>
      <c r="J46" s="3"/>
      <c r="K46" s="3" t="str">
        <f t="shared" si="0"/>
        <v/>
      </c>
      <c r="L46" s="2"/>
      <c r="M46" s="2"/>
      <c r="N46" s="2"/>
      <c r="O46" s="3"/>
      <c r="P46" s="3"/>
      <c r="Q46" s="3"/>
      <c r="R46" s="4" t="str">
        <f t="shared" si="1"/>
        <v/>
      </c>
    </row>
    <row r="47" spans="2:18" x14ac:dyDescent="0.15">
      <c r="B47" s="2"/>
      <c r="C47" s="2"/>
      <c r="D47" s="2"/>
      <c r="E47" s="3"/>
      <c r="F47" s="3"/>
      <c r="G47" s="2"/>
      <c r="H47" s="3"/>
      <c r="I47" s="2"/>
      <c r="J47" s="3"/>
      <c r="K47" s="3" t="str">
        <f t="shared" si="0"/>
        <v/>
      </c>
      <c r="L47" s="2"/>
      <c r="M47" s="2"/>
      <c r="N47" s="2"/>
      <c r="O47" s="3"/>
      <c r="P47" s="3"/>
      <c r="Q47" s="3"/>
      <c r="R47" s="4" t="str">
        <f t="shared" si="1"/>
        <v/>
      </c>
    </row>
    <row r="48" spans="2:18" x14ac:dyDescent="0.15">
      <c r="B48" s="2"/>
      <c r="C48" s="2"/>
      <c r="D48" s="2"/>
      <c r="E48" s="3"/>
      <c r="F48" s="3"/>
      <c r="G48" s="2"/>
      <c r="H48" s="3"/>
      <c r="I48" s="2"/>
      <c r="J48" s="3"/>
      <c r="K48" s="3" t="str">
        <f t="shared" si="0"/>
        <v/>
      </c>
      <c r="L48" s="2"/>
      <c r="M48" s="2"/>
      <c r="N48" s="2"/>
      <c r="O48" s="3"/>
      <c r="P48" s="3"/>
      <c r="Q48" s="3"/>
      <c r="R48" s="4" t="str">
        <f t="shared" si="1"/>
        <v/>
      </c>
    </row>
    <row r="49" spans="2:18" x14ac:dyDescent="0.15">
      <c r="B49" s="5"/>
      <c r="C49" s="5"/>
      <c r="D49" s="5"/>
      <c r="E49" s="6"/>
      <c r="F49" s="6"/>
      <c r="G49" s="5"/>
      <c r="H49" s="6"/>
      <c r="I49" s="5"/>
      <c r="J49" s="6"/>
      <c r="K49" s="6" t="str">
        <f t="shared" si="0"/>
        <v/>
      </c>
      <c r="L49" s="5"/>
      <c r="M49" s="5"/>
      <c r="N49" s="5"/>
      <c r="O49" s="6"/>
      <c r="P49" s="6"/>
      <c r="Q49" s="6"/>
      <c r="R49" s="7" t="str">
        <f t="shared" si="1"/>
        <v/>
      </c>
    </row>
  </sheetData>
  <mergeCells count="19">
    <mergeCell ref="N4:Q4"/>
    <mergeCell ref="N6:Q6"/>
    <mergeCell ref="N8:Q8"/>
    <mergeCell ref="H6:K6"/>
    <mergeCell ref="H8:K8"/>
    <mergeCell ref="N12:R13"/>
    <mergeCell ref="M12:M16"/>
    <mergeCell ref="N10:Q10"/>
    <mergeCell ref="I12:I16"/>
    <mergeCell ref="N14:N16"/>
    <mergeCell ref="L12:L16"/>
    <mergeCell ref="B12:B16"/>
    <mergeCell ref="C12:C16"/>
    <mergeCell ref="D12:D16"/>
    <mergeCell ref="G12:G16"/>
    <mergeCell ref="E4:F4"/>
    <mergeCell ref="C6:E6"/>
    <mergeCell ref="D8:E8"/>
    <mergeCell ref="C10:E10"/>
  </mergeCells>
  <phoneticPr fontId="1" type="noConversion"/>
  <pageMargins left="0.75" right="0.75" top="0.75" bottom="0.75" header="0.5" footer="0.5"/>
  <pageSetup scale="80" orientation="landscape" horizontalDpi="300" verticalDpi="1200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PFMEA</vt:lpstr>
      <vt:lpstr>PFMEA!Print_Titles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Temilola Gbadamosi-Adeniyi</cp:lastModifiedBy>
  <dcterms:created xsi:type="dcterms:W3CDTF">2010-11-12T15:01:54Z</dcterms:created>
  <dcterms:modified xsi:type="dcterms:W3CDTF">2026-09-18T18:08:44Z</dcterms:modified>
</cp:coreProperties>
</file>